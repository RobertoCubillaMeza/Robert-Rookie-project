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53" documentId="8_{8761CF19-0046-4715-B8FB-9230E793B6F5}" xr6:coauthVersionLast="47" xr6:coauthVersionMax="47" xr10:uidLastSave="{30FBC74C-ADE4-48C9-B663-D986E6BF1A00}"/>
  <bookViews>
    <workbookView xWindow="-108" yWindow="-108" windowWidth="23256" windowHeight="12456" xr2:uid="{9F602598-B120-46E6-997C-287E091787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13" i="1"/>
  <c r="E13" i="1"/>
  <c r="F13" i="1"/>
  <c r="G13" i="1"/>
  <c r="H13" i="1"/>
  <c r="I13" i="1"/>
  <c r="J13" i="1"/>
  <c r="K13" i="1"/>
  <c r="L13" i="1"/>
  <c r="M13" i="1"/>
  <c r="B13" i="1"/>
  <c r="C12" i="1"/>
  <c r="D12" i="1"/>
  <c r="E12" i="1"/>
  <c r="F12" i="1"/>
  <c r="G12" i="1"/>
  <c r="H12" i="1"/>
  <c r="I12" i="1"/>
  <c r="J12" i="1"/>
  <c r="K12" i="1"/>
  <c r="L12" i="1"/>
  <c r="M12" i="1"/>
  <c r="B12" i="1"/>
  <c r="C11" i="1"/>
  <c r="D11" i="1"/>
  <c r="E11" i="1"/>
  <c r="F11" i="1"/>
  <c r="G11" i="1"/>
  <c r="H11" i="1"/>
  <c r="I11" i="1"/>
  <c r="J11" i="1"/>
  <c r="K11" i="1"/>
  <c r="L11" i="1"/>
  <c r="M11" i="1"/>
  <c r="B11" i="1"/>
  <c r="C19" i="1"/>
  <c r="C21" i="1" s="1"/>
  <c r="N4" i="1"/>
  <c r="N5" i="1"/>
  <c r="N6" i="1"/>
  <c r="N7" i="1"/>
  <c r="N8" i="1"/>
  <c r="D9" i="1"/>
  <c r="C9" i="1"/>
  <c r="E9" i="1"/>
  <c r="F9" i="1"/>
  <c r="G9" i="1"/>
  <c r="H9" i="1"/>
  <c r="I9" i="1"/>
  <c r="J9" i="1"/>
  <c r="K9" i="1"/>
  <c r="L9" i="1"/>
  <c r="M9" i="1"/>
  <c r="B9" i="1"/>
  <c r="N9" i="1" l="1"/>
  <c r="O5" i="1" l="1"/>
  <c r="O6" i="1"/>
  <c r="O7" i="1"/>
  <c r="O8" i="1"/>
  <c r="O4" i="1"/>
</calcChain>
</file>

<file path=xl/sharedStrings.xml><?xml version="1.0" encoding="utf-8"?>
<sst xmlns="http://schemas.openxmlformats.org/spreadsheetml/2006/main" count="19" uniqueCount="17">
  <si>
    <t>Monthly Budget</t>
  </si>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</sst>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_-[$€-2]\ * #,##0.00_-;\-[$€-2]\ * #,##0.00_-;_-[$€-2]\ * &quot;-&quot;??_-;_-@_-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EBEE-2860-4ED5-9D0E-88B7E3B3261C}">
  <dimension ref="A1:O21"/>
  <sheetViews>
    <sheetView tabSelected="1" zoomScaleNormal="100" workbookViewId="0">
      <selection activeCell="O15" sqref="O15"/>
    </sheetView>
  </sheetViews>
  <sheetFormatPr defaultRowHeight="14.4" x14ac:dyDescent="0.3"/>
  <cols>
    <col min="1" max="1" width="13.44140625" customWidth="1"/>
    <col min="2" max="13" width="12.77734375" customWidth="1"/>
  </cols>
  <sheetData>
    <row r="1" spans="1:15" x14ac:dyDescent="0.3">
      <c r="A1" t="s">
        <v>0</v>
      </c>
    </row>
    <row r="3" spans="1:15" x14ac:dyDescent="0.3">
      <c r="A3" t="s">
        <v>1</v>
      </c>
      <c r="B3" s="1">
        <v>45658</v>
      </c>
      <c r="C3" s="1">
        <v>45689</v>
      </c>
      <c r="D3" s="1">
        <v>45717</v>
      </c>
      <c r="E3" s="1">
        <v>45748</v>
      </c>
      <c r="F3" s="1">
        <v>45778</v>
      </c>
      <c r="G3" s="1">
        <v>45809</v>
      </c>
      <c r="H3" s="1">
        <v>45839</v>
      </c>
      <c r="I3" s="1">
        <v>45870</v>
      </c>
      <c r="J3" s="1">
        <v>45901</v>
      </c>
      <c r="K3" s="1">
        <v>45931</v>
      </c>
      <c r="L3" s="1">
        <v>45962</v>
      </c>
      <c r="M3" s="1">
        <v>45992</v>
      </c>
      <c r="N3" t="s">
        <v>7</v>
      </c>
      <c r="O3" t="s">
        <v>8</v>
      </c>
    </row>
    <row r="4" spans="1:15" x14ac:dyDescent="0.3">
      <c r="A4" t="s">
        <v>2</v>
      </c>
      <c r="B4">
        <v>725</v>
      </c>
      <c r="C4">
        <v>725</v>
      </c>
      <c r="D4">
        <v>725</v>
      </c>
      <c r="E4">
        <v>725</v>
      </c>
      <c r="F4">
        <v>725</v>
      </c>
      <c r="G4">
        <v>725</v>
      </c>
      <c r="H4">
        <v>725</v>
      </c>
      <c r="I4">
        <v>725</v>
      </c>
      <c r="J4">
        <v>725</v>
      </c>
      <c r="K4">
        <v>725</v>
      </c>
      <c r="L4">
        <v>725</v>
      </c>
      <c r="M4">
        <v>725</v>
      </c>
      <c r="N4">
        <f t="shared" ref="N4:N8" si="0">SUM(B4:M4)</f>
        <v>8700</v>
      </c>
      <c r="O4">
        <f>N4/$N$9</f>
        <v>0.54446460980036293</v>
      </c>
    </row>
    <row r="5" spans="1:15" x14ac:dyDescent="0.3">
      <c r="A5" t="s">
        <v>3</v>
      </c>
      <c r="B5">
        <v>20</v>
      </c>
      <c r="C5">
        <v>20</v>
      </c>
      <c r="D5">
        <v>20</v>
      </c>
      <c r="E5">
        <v>20</v>
      </c>
      <c r="F5">
        <v>20</v>
      </c>
      <c r="G5">
        <v>20</v>
      </c>
      <c r="H5">
        <v>20</v>
      </c>
      <c r="I5">
        <v>20</v>
      </c>
      <c r="J5">
        <v>20</v>
      </c>
      <c r="K5">
        <v>20</v>
      </c>
      <c r="L5">
        <v>20</v>
      </c>
      <c r="M5">
        <v>20</v>
      </c>
      <c r="N5">
        <f t="shared" si="0"/>
        <v>240</v>
      </c>
      <c r="O5">
        <f t="shared" ref="O5:O8" si="1">N5/$N$9</f>
        <v>1.5019713373803117E-2</v>
      </c>
    </row>
    <row r="6" spans="1:15" x14ac:dyDescent="0.3">
      <c r="A6" t="s">
        <v>4</v>
      </c>
      <c r="B6">
        <v>400</v>
      </c>
      <c r="C6">
        <v>400</v>
      </c>
      <c r="D6">
        <v>400</v>
      </c>
      <c r="E6">
        <v>400</v>
      </c>
      <c r="F6">
        <v>10</v>
      </c>
      <c r="G6">
        <v>5</v>
      </c>
      <c r="H6">
        <v>17</v>
      </c>
      <c r="I6">
        <v>8</v>
      </c>
      <c r="J6">
        <v>10</v>
      </c>
      <c r="K6">
        <v>15</v>
      </c>
      <c r="L6">
        <v>25</v>
      </c>
      <c r="M6">
        <v>35</v>
      </c>
      <c r="N6">
        <f t="shared" si="0"/>
        <v>1725</v>
      </c>
      <c r="O6">
        <f t="shared" si="1"/>
        <v>0.1079541898742099</v>
      </c>
    </row>
    <row r="7" spans="1:15" x14ac:dyDescent="0.3">
      <c r="A7" t="s">
        <v>5</v>
      </c>
      <c r="B7">
        <v>400</v>
      </c>
      <c r="C7">
        <v>450</v>
      </c>
      <c r="D7">
        <v>400</v>
      </c>
      <c r="E7">
        <v>400</v>
      </c>
      <c r="F7">
        <v>450</v>
      </c>
      <c r="G7">
        <v>400</v>
      </c>
      <c r="H7">
        <v>450</v>
      </c>
      <c r="I7">
        <v>350</v>
      </c>
      <c r="J7">
        <v>400</v>
      </c>
      <c r="K7">
        <v>450</v>
      </c>
      <c r="L7">
        <v>350</v>
      </c>
      <c r="M7">
        <v>450</v>
      </c>
      <c r="N7">
        <f t="shared" si="0"/>
        <v>4950</v>
      </c>
      <c r="O7">
        <f t="shared" si="1"/>
        <v>0.30978158833468927</v>
      </c>
    </row>
    <row r="8" spans="1:15" x14ac:dyDescent="0.3">
      <c r="A8" t="s">
        <v>6</v>
      </c>
      <c r="B8">
        <v>15</v>
      </c>
      <c r="C8">
        <v>20</v>
      </c>
      <c r="D8">
        <v>15</v>
      </c>
      <c r="E8">
        <v>25</v>
      </c>
      <c r="F8">
        <v>35</v>
      </c>
      <c r="G8">
        <v>45</v>
      </c>
      <c r="H8">
        <v>25</v>
      </c>
      <c r="I8">
        <v>35</v>
      </c>
      <c r="J8">
        <v>25</v>
      </c>
      <c r="K8">
        <v>14</v>
      </c>
      <c r="L8">
        <v>35</v>
      </c>
      <c r="M8">
        <v>75</v>
      </c>
      <c r="N8">
        <f t="shared" si="0"/>
        <v>364</v>
      </c>
      <c r="O8">
        <f t="shared" si="1"/>
        <v>2.2779898616934725E-2</v>
      </c>
    </row>
    <row r="9" spans="1:15" x14ac:dyDescent="0.3">
      <c r="A9" t="s">
        <v>7</v>
      </c>
      <c r="B9">
        <f>SUM(B4:B8)</f>
        <v>1560</v>
      </c>
      <c r="C9">
        <f t="shared" ref="C9:M9" si="2">SUM(C4:C8)</f>
        <v>1615</v>
      </c>
      <c r="D9">
        <f t="shared" si="2"/>
        <v>1560</v>
      </c>
      <c r="E9">
        <f t="shared" si="2"/>
        <v>1570</v>
      </c>
      <c r="F9">
        <f t="shared" si="2"/>
        <v>1240</v>
      </c>
      <c r="G9">
        <f t="shared" si="2"/>
        <v>1195</v>
      </c>
      <c r="H9">
        <f t="shared" si="2"/>
        <v>1237</v>
      </c>
      <c r="I9">
        <f t="shared" si="2"/>
        <v>1138</v>
      </c>
      <c r="J9">
        <f t="shared" si="2"/>
        <v>1180</v>
      </c>
      <c r="K9">
        <f t="shared" si="2"/>
        <v>1224</v>
      </c>
      <c r="L9">
        <f t="shared" si="2"/>
        <v>1155</v>
      </c>
      <c r="M9">
        <f t="shared" si="2"/>
        <v>1305</v>
      </c>
      <c r="N9">
        <f>SUM(B9:M9)</f>
        <v>15979</v>
      </c>
    </row>
    <row r="11" spans="1:15" x14ac:dyDescent="0.3">
      <c r="A11" s="5" t="s">
        <v>14</v>
      </c>
      <c r="B11">
        <f>MIN(B4:B8)</f>
        <v>15</v>
      </c>
      <c r="C11">
        <f t="shared" ref="C11:M11" si="3">MIN(C4:C8)</f>
        <v>20</v>
      </c>
      <c r="D11">
        <f t="shared" si="3"/>
        <v>15</v>
      </c>
      <c r="E11">
        <f t="shared" si="3"/>
        <v>20</v>
      </c>
      <c r="F11">
        <f t="shared" si="3"/>
        <v>10</v>
      </c>
      <c r="G11">
        <f t="shared" si="3"/>
        <v>5</v>
      </c>
      <c r="H11">
        <f t="shared" si="3"/>
        <v>17</v>
      </c>
      <c r="I11">
        <f t="shared" si="3"/>
        <v>8</v>
      </c>
      <c r="J11">
        <f t="shared" si="3"/>
        <v>10</v>
      </c>
      <c r="K11">
        <f t="shared" si="3"/>
        <v>14</v>
      </c>
      <c r="L11">
        <f t="shared" si="3"/>
        <v>20</v>
      </c>
      <c r="M11">
        <f t="shared" si="3"/>
        <v>20</v>
      </c>
    </row>
    <row r="12" spans="1:15" x14ac:dyDescent="0.3">
      <c r="A12" s="5" t="s">
        <v>15</v>
      </c>
      <c r="B12">
        <f>MAX(B4:B8)</f>
        <v>725</v>
      </c>
      <c r="C12">
        <f t="shared" ref="C12:M12" si="4">MAX(C4:C8)</f>
        <v>725</v>
      </c>
      <c r="D12">
        <f t="shared" si="4"/>
        <v>725</v>
      </c>
      <c r="E12">
        <f t="shared" si="4"/>
        <v>725</v>
      </c>
      <c r="F12">
        <f t="shared" si="4"/>
        <v>725</v>
      </c>
      <c r="G12">
        <f t="shared" si="4"/>
        <v>725</v>
      </c>
      <c r="H12">
        <f t="shared" si="4"/>
        <v>725</v>
      </c>
      <c r="I12">
        <f t="shared" si="4"/>
        <v>725</v>
      </c>
      <c r="J12">
        <f t="shared" si="4"/>
        <v>725</v>
      </c>
      <c r="K12">
        <f t="shared" si="4"/>
        <v>725</v>
      </c>
      <c r="L12">
        <f t="shared" si="4"/>
        <v>725</v>
      </c>
      <c r="M12">
        <f t="shared" si="4"/>
        <v>725</v>
      </c>
    </row>
    <row r="13" spans="1:15" x14ac:dyDescent="0.3">
      <c r="A13" s="5" t="s">
        <v>16</v>
      </c>
      <c r="B13">
        <f>AVERAGE(B4:B8)</f>
        <v>312</v>
      </c>
      <c r="C13">
        <f t="shared" ref="C13:M13" si="5">AVERAGE(C4:C8)</f>
        <v>323</v>
      </c>
      <c r="D13">
        <f t="shared" si="5"/>
        <v>312</v>
      </c>
      <c r="E13">
        <f t="shared" si="5"/>
        <v>314</v>
      </c>
      <c r="F13">
        <f t="shared" si="5"/>
        <v>248</v>
      </c>
      <c r="G13">
        <f t="shared" si="5"/>
        <v>239</v>
      </c>
      <c r="H13">
        <f t="shared" si="5"/>
        <v>247.4</v>
      </c>
      <c r="I13">
        <f t="shared" si="5"/>
        <v>227.6</v>
      </c>
      <c r="J13">
        <f t="shared" si="5"/>
        <v>236</v>
      </c>
      <c r="K13">
        <f t="shared" si="5"/>
        <v>244.8</v>
      </c>
      <c r="L13">
        <f t="shared" si="5"/>
        <v>231</v>
      </c>
      <c r="M13">
        <f t="shared" si="5"/>
        <v>261</v>
      </c>
    </row>
    <row r="16" spans="1:15" ht="16.2" x14ac:dyDescent="0.3">
      <c r="B16" s="4" t="s">
        <v>9</v>
      </c>
      <c r="C16" s="2">
        <v>100</v>
      </c>
    </row>
    <row r="17" spans="2:3" ht="16.2" x14ac:dyDescent="0.3">
      <c r="B17" s="4" t="s">
        <v>10</v>
      </c>
      <c r="C17" s="2">
        <v>150</v>
      </c>
    </row>
    <row r="18" spans="2:3" ht="16.2" x14ac:dyDescent="0.3">
      <c r="B18" s="4" t="s">
        <v>11</v>
      </c>
      <c r="C18" s="2">
        <v>55</v>
      </c>
    </row>
    <row r="19" spans="2:3" ht="16.2" x14ac:dyDescent="0.3">
      <c r="B19" s="4" t="s">
        <v>12</v>
      </c>
      <c r="C19" s="2">
        <f>SUM(C16:C18)</f>
        <v>305</v>
      </c>
    </row>
    <row r="20" spans="2:3" ht="16.2" x14ac:dyDescent="0.3">
      <c r="B20" s="4" t="s">
        <v>13</v>
      </c>
      <c r="C20" s="3">
        <v>0.08</v>
      </c>
    </row>
    <row r="21" spans="2:3" ht="16.2" x14ac:dyDescent="0.3">
      <c r="B21" s="4" t="s">
        <v>7</v>
      </c>
      <c r="C21" s="2">
        <f>C19*(C20+1)</f>
        <v>329.40000000000003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dcterms:created xsi:type="dcterms:W3CDTF">2025-07-24T19:50:19Z</dcterms:created>
  <dcterms:modified xsi:type="dcterms:W3CDTF">2025-07-29T07:44:37Z</dcterms:modified>
</cp:coreProperties>
</file>