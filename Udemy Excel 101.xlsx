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EF12D157D92B731/Documents/GitHub/Robert-Rookie-project/"/>
    </mc:Choice>
  </mc:AlternateContent>
  <xr:revisionPtr revIDLastSave="92" documentId="8_{8761CF19-0046-4715-B8FB-9230E793B6F5}" xr6:coauthVersionLast="47" xr6:coauthVersionMax="47" xr10:uidLastSave="{C3A28C96-3F1C-4F57-9E56-9EBFDDF4DE28}"/>
  <bookViews>
    <workbookView xWindow="-108" yWindow="-108" windowWidth="23256" windowHeight="12456" xr2:uid="{9F602598-B120-46E6-997C-287E091787E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3" i="1" s="1"/>
  <c r="N16" i="1"/>
  <c r="M16" i="1"/>
  <c r="L16" i="1"/>
  <c r="K16" i="1"/>
  <c r="J16" i="1"/>
  <c r="I16" i="1"/>
  <c r="H16" i="1"/>
  <c r="G16" i="1"/>
  <c r="F16" i="1"/>
  <c r="E16" i="1"/>
  <c r="D16" i="1"/>
  <c r="C16" i="1"/>
  <c r="N15" i="1"/>
  <c r="M15" i="1"/>
  <c r="L15" i="1"/>
  <c r="K15" i="1"/>
  <c r="J15" i="1"/>
  <c r="I15" i="1"/>
  <c r="H15" i="1"/>
  <c r="G15" i="1"/>
  <c r="F15" i="1"/>
  <c r="E15" i="1"/>
  <c r="D15" i="1"/>
  <c r="C15" i="1"/>
  <c r="N14" i="1"/>
  <c r="M14" i="1"/>
  <c r="L14" i="1"/>
  <c r="K14" i="1"/>
  <c r="J14" i="1"/>
  <c r="I14" i="1"/>
  <c r="H14" i="1"/>
  <c r="G14" i="1"/>
  <c r="F14" i="1"/>
  <c r="E14" i="1"/>
  <c r="D14" i="1"/>
  <c r="C14" i="1"/>
  <c r="N13" i="1"/>
  <c r="M13" i="1"/>
  <c r="L13" i="1"/>
  <c r="K13" i="1"/>
  <c r="J13" i="1"/>
  <c r="I13" i="1"/>
  <c r="H13" i="1"/>
  <c r="G13" i="1"/>
  <c r="F13" i="1"/>
  <c r="E13" i="1"/>
  <c r="D13" i="1"/>
  <c r="C13" i="1"/>
  <c r="N11" i="1"/>
  <c r="M11" i="1"/>
  <c r="L11" i="1"/>
  <c r="K11" i="1"/>
  <c r="J11" i="1"/>
  <c r="I11" i="1"/>
  <c r="H11" i="1"/>
  <c r="G11" i="1"/>
  <c r="F11" i="1"/>
  <c r="E11" i="1"/>
  <c r="D11" i="1"/>
  <c r="C11" i="1"/>
  <c r="O10" i="1"/>
  <c r="O9" i="1"/>
  <c r="O8" i="1"/>
  <c r="O7" i="1"/>
  <c r="O6" i="1"/>
  <c r="O11" i="1" l="1"/>
  <c r="P9" i="1" s="1"/>
  <c r="P6" i="1"/>
  <c r="P7" i="1"/>
  <c r="P8" i="1"/>
  <c r="P10" i="1" l="1"/>
</calcChain>
</file>

<file path=xl/sharedStrings.xml><?xml version="1.0" encoding="utf-8"?>
<sst xmlns="http://schemas.openxmlformats.org/spreadsheetml/2006/main" count="20" uniqueCount="18">
  <si>
    <t>Monthly Budget</t>
  </si>
  <si>
    <t>Bills</t>
  </si>
  <si>
    <t>Rent</t>
  </si>
  <si>
    <t xml:space="preserve">Phone </t>
  </si>
  <si>
    <t>Credit Cards</t>
  </si>
  <si>
    <t>Food</t>
  </si>
  <si>
    <t>Candy</t>
  </si>
  <si>
    <t>Total</t>
  </si>
  <si>
    <t>Percent</t>
  </si>
  <si>
    <t>Item A</t>
  </si>
  <si>
    <t>Item B</t>
  </si>
  <si>
    <t>Item C</t>
  </si>
  <si>
    <t>Sub Total</t>
  </si>
  <si>
    <t xml:space="preserve">Tax </t>
  </si>
  <si>
    <t>MIN</t>
  </si>
  <si>
    <t>MAX</t>
  </si>
  <si>
    <t>AVERAGE</t>
  </si>
  <si>
    <t>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</si>
</sst>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_-[$€-2]\ * #,##0.00_-;\-[$€-2]\ * #,##0.00_-;_-[$€-2]\ * &quot;-&quot;??_-;_-@_-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EBEE-2860-4ED5-9D0E-88B7E3B3261C}">
  <dimension ref="B3:P23"/>
  <sheetViews>
    <sheetView tabSelected="1" zoomScaleNormal="100" workbookViewId="0">
      <selection activeCell="E25" sqref="E25"/>
    </sheetView>
  </sheetViews>
  <sheetFormatPr defaultRowHeight="14.4" x14ac:dyDescent="0.3"/>
  <cols>
    <col min="1" max="1" width="13.44140625" customWidth="1"/>
    <col min="2" max="13" width="12.77734375" customWidth="1"/>
  </cols>
  <sheetData>
    <row r="3" spans="2:16" x14ac:dyDescent="0.3">
      <c r="B3" t="s">
        <v>0</v>
      </c>
    </row>
    <row r="5" spans="2:16" x14ac:dyDescent="0.3">
      <c r="B5" t="s">
        <v>1</v>
      </c>
      <c r="C5" s="1">
        <v>45658</v>
      </c>
      <c r="D5" s="1">
        <v>45689</v>
      </c>
      <c r="E5" s="1">
        <v>45717</v>
      </c>
      <c r="F5" s="1">
        <v>45748</v>
      </c>
      <c r="G5" s="1">
        <v>45778</v>
      </c>
      <c r="H5" s="1">
        <v>45809</v>
      </c>
      <c r="I5" s="1">
        <v>45839</v>
      </c>
      <c r="J5" s="1">
        <v>45870</v>
      </c>
      <c r="K5" s="1">
        <v>45901</v>
      </c>
      <c r="L5" s="1">
        <v>45931</v>
      </c>
      <c r="M5" s="1">
        <v>45962</v>
      </c>
      <c r="N5" s="1">
        <v>45992</v>
      </c>
      <c r="O5" t="s">
        <v>7</v>
      </c>
      <c r="P5" t="s">
        <v>8</v>
      </c>
    </row>
    <row r="6" spans="2:16" x14ac:dyDescent="0.3">
      <c r="B6" t="s">
        <v>2</v>
      </c>
      <c r="C6">
        <v>725</v>
      </c>
      <c r="D6">
        <v>725</v>
      </c>
      <c r="E6">
        <v>725</v>
      </c>
      <c r="F6">
        <v>725</v>
      </c>
      <c r="G6">
        <v>725</v>
      </c>
      <c r="H6">
        <v>725</v>
      </c>
      <c r="I6">
        <v>725</v>
      </c>
      <c r="J6">
        <v>725</v>
      </c>
      <c r="K6">
        <v>725</v>
      </c>
      <c r="L6">
        <v>725</v>
      </c>
      <c r="M6">
        <v>725</v>
      </c>
      <c r="N6">
        <v>725</v>
      </c>
      <c r="O6">
        <f>SUM(C6:N6)</f>
        <v>8700</v>
      </c>
      <c r="P6">
        <f>O6/$O$11</f>
        <v>0.54446460980036293</v>
      </c>
    </row>
    <row r="7" spans="2:16" x14ac:dyDescent="0.3">
      <c r="B7" t="s">
        <v>3</v>
      </c>
      <c r="C7">
        <v>20</v>
      </c>
      <c r="D7">
        <v>20</v>
      </c>
      <c r="E7">
        <v>20</v>
      </c>
      <c r="F7">
        <v>20</v>
      </c>
      <c r="G7">
        <v>20</v>
      </c>
      <c r="H7">
        <v>20</v>
      </c>
      <c r="I7">
        <v>20</v>
      </c>
      <c r="J7">
        <v>20</v>
      </c>
      <c r="K7">
        <v>20</v>
      </c>
      <c r="L7">
        <v>20</v>
      </c>
      <c r="M7">
        <v>20</v>
      </c>
      <c r="N7">
        <v>20</v>
      </c>
      <c r="O7">
        <f>SUM(C7:N7)</f>
        <v>240</v>
      </c>
      <c r="P7">
        <f>O7/$O$11</f>
        <v>1.5019713373803117E-2</v>
      </c>
    </row>
    <row r="8" spans="2:16" x14ac:dyDescent="0.3">
      <c r="B8" t="s">
        <v>4</v>
      </c>
      <c r="C8">
        <v>400</v>
      </c>
      <c r="D8">
        <v>400</v>
      </c>
      <c r="E8">
        <v>400</v>
      </c>
      <c r="F8">
        <v>400</v>
      </c>
      <c r="G8">
        <v>10</v>
      </c>
      <c r="H8">
        <v>5</v>
      </c>
      <c r="I8">
        <v>17</v>
      </c>
      <c r="J8">
        <v>8</v>
      </c>
      <c r="K8">
        <v>10</v>
      </c>
      <c r="L8">
        <v>15</v>
      </c>
      <c r="M8">
        <v>25</v>
      </c>
      <c r="N8">
        <v>35</v>
      </c>
      <c r="O8">
        <f>SUM(C8:N8)</f>
        <v>1725</v>
      </c>
      <c r="P8">
        <f>O8/$O$11</f>
        <v>0.1079541898742099</v>
      </c>
    </row>
    <row r="9" spans="2:16" x14ac:dyDescent="0.3">
      <c r="B9" t="s">
        <v>5</v>
      </c>
      <c r="C9">
        <v>400</v>
      </c>
      <c r="D9">
        <v>450</v>
      </c>
      <c r="E9">
        <v>400</v>
      </c>
      <c r="F9">
        <v>400</v>
      </c>
      <c r="G9">
        <v>450</v>
      </c>
      <c r="H9">
        <v>400</v>
      </c>
      <c r="I9">
        <v>450</v>
      </c>
      <c r="J9">
        <v>350</v>
      </c>
      <c r="K9">
        <v>400</v>
      </c>
      <c r="L9">
        <v>450</v>
      </c>
      <c r="M9">
        <v>350</v>
      </c>
      <c r="N9">
        <v>450</v>
      </c>
      <c r="O9">
        <f>SUM(C9:N9)</f>
        <v>4950</v>
      </c>
      <c r="P9">
        <f>O9/$O$11</f>
        <v>0.30978158833468927</v>
      </c>
    </row>
    <row r="10" spans="2:16" x14ac:dyDescent="0.3">
      <c r="B10" t="s">
        <v>6</v>
      </c>
      <c r="C10">
        <v>15</v>
      </c>
      <c r="D10">
        <v>20</v>
      </c>
      <c r="E10">
        <v>15</v>
      </c>
      <c r="F10">
        <v>25</v>
      </c>
      <c r="G10">
        <v>35</v>
      </c>
      <c r="H10">
        <v>45</v>
      </c>
      <c r="I10">
        <v>25</v>
      </c>
      <c r="J10">
        <v>35</v>
      </c>
      <c r="K10">
        <v>25</v>
      </c>
      <c r="L10">
        <v>14</v>
      </c>
      <c r="M10">
        <v>35</v>
      </c>
      <c r="N10">
        <v>75</v>
      </c>
      <c r="O10">
        <f>SUM(C10:N10)</f>
        <v>364</v>
      </c>
      <c r="P10">
        <f>O10/$O$11</f>
        <v>2.2779898616934725E-2</v>
      </c>
    </row>
    <row r="11" spans="2:16" x14ac:dyDescent="0.3">
      <c r="B11" t="s">
        <v>7</v>
      </c>
      <c r="C11">
        <f>SUM(C6:C10)</f>
        <v>1560</v>
      </c>
      <c r="D11">
        <f>SUM(D6:D10)</f>
        <v>1615</v>
      </c>
      <c r="E11">
        <f>SUM(E6:E10)</f>
        <v>1560</v>
      </c>
      <c r="F11">
        <f>SUM(F6:F10)</f>
        <v>1570</v>
      </c>
      <c r="G11">
        <f>SUM(G6:G10)</f>
        <v>1240</v>
      </c>
      <c r="H11">
        <f>SUM(H6:H10)</f>
        <v>1195</v>
      </c>
      <c r="I11">
        <f>SUM(I6:I10)</f>
        <v>1237</v>
      </c>
      <c r="J11">
        <f>SUM(J6:J10)</f>
        <v>1138</v>
      </c>
      <c r="K11">
        <f>SUM(K6:K10)</f>
        <v>1180</v>
      </c>
      <c r="L11">
        <f>SUM(L6:L10)</f>
        <v>1224</v>
      </c>
      <c r="M11">
        <f>SUM(M6:M10)</f>
        <v>1155</v>
      </c>
      <c r="N11">
        <f>SUM(N6:N10)</f>
        <v>1305</v>
      </c>
      <c r="O11">
        <f>SUM(C11:N11)</f>
        <v>15979</v>
      </c>
    </row>
    <row r="13" spans="2:16" x14ac:dyDescent="0.3">
      <c r="B13" s="5" t="s">
        <v>14</v>
      </c>
      <c r="C13">
        <f>MIN(C6:C10)</f>
        <v>15</v>
      </c>
      <c r="D13">
        <f>MIN(D6:D10)</f>
        <v>20</v>
      </c>
      <c r="E13">
        <f>MIN(E6:E10)</f>
        <v>15</v>
      </c>
      <c r="F13">
        <f>MIN(F6:F10)</f>
        <v>20</v>
      </c>
      <c r="G13">
        <f>MIN(G6:G10)</f>
        <v>10</v>
      </c>
      <c r="H13">
        <f>MIN(H6:H10)</f>
        <v>5</v>
      </c>
      <c r="I13">
        <f>MIN(I6:I10)</f>
        <v>17</v>
      </c>
      <c r="J13">
        <f>MIN(J6:J10)</f>
        <v>8</v>
      </c>
      <c r="K13">
        <f>MIN(K6:K10)</f>
        <v>10</v>
      </c>
      <c r="L13">
        <f>MIN(L6:L10)</f>
        <v>14</v>
      </c>
      <c r="M13">
        <f>MIN(M6:M10)</f>
        <v>20</v>
      </c>
      <c r="N13">
        <f>MIN(N6:N10)</f>
        <v>20</v>
      </c>
    </row>
    <row r="14" spans="2:16" x14ac:dyDescent="0.3">
      <c r="B14" s="5" t="s">
        <v>15</v>
      </c>
      <c r="C14">
        <f>MAX(C6:C10)</f>
        <v>725</v>
      </c>
      <c r="D14">
        <f>MAX(D6:D10)</f>
        <v>725</v>
      </c>
      <c r="E14">
        <f>MAX(E6:E10)</f>
        <v>725</v>
      </c>
      <c r="F14">
        <f>MAX(F6:F10)</f>
        <v>725</v>
      </c>
      <c r="G14">
        <f>MAX(G6:G10)</f>
        <v>725</v>
      </c>
      <c r="H14">
        <f>MAX(H6:H10)</f>
        <v>725</v>
      </c>
      <c r="I14">
        <f>MAX(I6:I10)</f>
        <v>725</v>
      </c>
      <c r="J14">
        <f>MAX(J6:J10)</f>
        <v>725</v>
      </c>
      <c r="K14">
        <f>MAX(K6:K10)</f>
        <v>725</v>
      </c>
      <c r="L14">
        <f>MAX(L6:L10)</f>
        <v>725</v>
      </c>
      <c r="M14">
        <f>MAX(M6:M10)</f>
        <v>725</v>
      </c>
      <c r="N14">
        <f>MAX(N6:N10)</f>
        <v>725</v>
      </c>
    </row>
    <row r="15" spans="2:16" x14ac:dyDescent="0.3">
      <c r="B15" s="5" t="s">
        <v>16</v>
      </c>
      <c r="C15">
        <f>AVERAGE(C6:C10)</f>
        <v>312</v>
      </c>
      <c r="D15">
        <f>AVERAGE(D6:D10)</f>
        <v>323</v>
      </c>
      <c r="E15">
        <f>AVERAGE(E6:E10)</f>
        <v>312</v>
      </c>
      <c r="F15">
        <f>AVERAGE(F6:F10)</f>
        <v>314</v>
      </c>
      <c r="G15">
        <f>AVERAGE(G6:G10)</f>
        <v>248</v>
      </c>
      <c r="H15">
        <f>AVERAGE(H6:H10)</f>
        <v>239</v>
      </c>
      <c r="I15">
        <f>AVERAGE(I6:I10)</f>
        <v>247.4</v>
      </c>
      <c r="J15">
        <f>AVERAGE(J6:J10)</f>
        <v>227.6</v>
      </c>
      <c r="K15">
        <f>AVERAGE(K6:K10)</f>
        <v>236</v>
      </c>
      <c r="L15">
        <f>AVERAGE(L6:L10)</f>
        <v>244.8</v>
      </c>
      <c r="M15">
        <f>AVERAGE(M6:M10)</f>
        <v>231</v>
      </c>
      <c r="N15">
        <f>AVERAGE(N6:N10)</f>
        <v>261</v>
      </c>
    </row>
    <row r="16" spans="2:16" x14ac:dyDescent="0.3">
      <c r="B16" s="5" t="s">
        <v>17</v>
      </c>
      <c r="C16">
        <f>COUNT(C6:C10)</f>
        <v>5</v>
      </c>
      <c r="D16">
        <f>COUNT(D6:D10)</f>
        <v>5</v>
      </c>
      <c r="E16">
        <f>COUNT(E6:E10)</f>
        <v>5</v>
      </c>
      <c r="F16">
        <f>COUNT(F6:F10)</f>
        <v>5</v>
      </c>
      <c r="G16">
        <f>COUNT(G6:G10)</f>
        <v>5</v>
      </c>
      <c r="H16">
        <f>COUNT(H6:H10)</f>
        <v>5</v>
      </c>
      <c r="I16">
        <f>COUNT(I6:I10)</f>
        <v>5</v>
      </c>
      <c r="J16">
        <f>COUNT(J6:J10)</f>
        <v>5</v>
      </c>
      <c r="K16">
        <f>COUNT(K6:K10)</f>
        <v>5</v>
      </c>
      <c r="L16">
        <f>COUNT(L6:L10)</f>
        <v>5</v>
      </c>
      <c r="M16">
        <f>COUNT(M6:M10)</f>
        <v>5</v>
      </c>
      <c r="N16">
        <f>COUNT(N6:N10)</f>
        <v>5</v>
      </c>
    </row>
    <row r="18" spans="3:4" ht="16.2" x14ac:dyDescent="0.3">
      <c r="C18" s="4" t="s">
        <v>9</v>
      </c>
      <c r="D18" s="2">
        <v>100</v>
      </c>
    </row>
    <row r="19" spans="3:4" ht="16.2" x14ac:dyDescent="0.3">
      <c r="C19" s="4" t="s">
        <v>10</v>
      </c>
      <c r="D19" s="2">
        <v>150</v>
      </c>
    </row>
    <row r="20" spans="3:4" ht="16.2" x14ac:dyDescent="0.3">
      <c r="C20" s="4" t="s">
        <v>11</v>
      </c>
      <c r="D20" s="2">
        <v>55</v>
      </c>
    </row>
    <row r="21" spans="3:4" ht="16.2" x14ac:dyDescent="0.3">
      <c r="C21" s="4" t="s">
        <v>12</v>
      </c>
      <c r="D21" s="2">
        <f>SUM(D18:D20)</f>
        <v>305</v>
      </c>
    </row>
    <row r="22" spans="3:4" ht="16.2" x14ac:dyDescent="0.3">
      <c r="C22" s="4" t="s">
        <v>13</v>
      </c>
      <c r="D22" s="3">
        <v>0.08</v>
      </c>
    </row>
    <row r="23" spans="3:4" ht="16.2" x14ac:dyDescent="0.3">
      <c r="C23" s="4" t="s">
        <v>7</v>
      </c>
      <c r="D23" s="2">
        <f>D21*(D22+1)</f>
        <v>329.40000000000003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ABFB2-A23D-41E9-929A-A2B68F87AB0C}">
  <dimension ref="A1"/>
  <sheetViews>
    <sheetView workbookViewId="0">
      <selection activeCell="C4" sqref="C4:Q24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Cubilla</dc:creator>
  <cp:lastModifiedBy>Robert Cubilla</cp:lastModifiedBy>
  <dcterms:created xsi:type="dcterms:W3CDTF">2025-07-24T19:50:19Z</dcterms:created>
  <dcterms:modified xsi:type="dcterms:W3CDTF">2025-10-31T21:33:08Z</dcterms:modified>
</cp:coreProperties>
</file>